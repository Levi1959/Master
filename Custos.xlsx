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trado_UNESP\Dissertação Cientifica material\Dissertação\Apendice\Apendice_6_Custos\"/>
    </mc:Choice>
  </mc:AlternateContent>
  <xr:revisionPtr revIDLastSave="0" documentId="13_ncr:1_{127BD29C-9AC7-4389-8A7F-BF9E713EAE11}" xr6:coauthVersionLast="47" xr6:coauthVersionMax="47" xr10:uidLastSave="{00000000-0000-0000-0000-000000000000}"/>
  <bookViews>
    <workbookView xWindow="-108" yWindow="-108" windowWidth="23256" windowHeight="12456" activeTab="4" xr2:uid="{7AA3764D-F61A-4A9F-9998-E619A9ADB65F}"/>
  </bookViews>
  <sheets>
    <sheet name="Custos" sheetId="1" r:id="rId1"/>
    <sheet name="Arduino" sheetId="2" r:id="rId2"/>
    <sheet name="Raspberry" sheetId="3" r:id="rId3"/>
    <sheet name="Arduino_customizado" sheetId="5" r:id="rId4"/>
    <sheet name="Raspberry_Customizad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F39" i="6"/>
  <c r="E39" i="6"/>
  <c r="F39" i="5"/>
  <c r="E39" i="5"/>
  <c r="F39" i="3"/>
  <c r="E39" i="3"/>
  <c r="F39" i="2"/>
  <c r="E39" i="2"/>
  <c r="E39" i="1"/>
  <c r="F39" i="1"/>
</calcChain>
</file>

<file path=xl/sharedStrings.xml><?xml version="1.0" encoding="utf-8"?>
<sst xmlns="http://schemas.openxmlformats.org/spreadsheetml/2006/main" count="225" uniqueCount="46">
  <si>
    <t>Descrição</t>
  </si>
  <si>
    <t>Fornecedor</t>
  </si>
  <si>
    <t>Custo R$</t>
  </si>
  <si>
    <t>Raspberry Pi Pico W</t>
  </si>
  <si>
    <t>MakerHero</t>
  </si>
  <si>
    <t>Qtd</t>
  </si>
  <si>
    <t>Sensor de Umidade e Temperatura</t>
  </si>
  <si>
    <t xml:space="preserve">Display OLED 0.96" 128X64 I2C amarelo/Azul </t>
  </si>
  <si>
    <t xml:space="preserve">Módulo cartão Micro SD </t>
  </si>
  <si>
    <t xml:space="preserve">Cartão de Memória Classe 10 32 GB Micro SD SanDisk com Adaptador </t>
  </si>
  <si>
    <t>Real Time Clock RTC DS3231</t>
  </si>
  <si>
    <t>Protoboard 1660 pontos</t>
  </si>
  <si>
    <t>Chave 3 terminais Mini Swicth SPDT</t>
  </si>
  <si>
    <t>Chave Push-Button Mini Switch SPST-Vermelho</t>
  </si>
  <si>
    <t>Chave Gangorra Redonda ON-OFF SPST</t>
  </si>
  <si>
    <t>Kit Jumpers Macho-Macho x65 Unidades</t>
  </si>
  <si>
    <t>Jumpers Macho-Fêmea x40 Unidades</t>
  </si>
  <si>
    <t>Jumpers Fêmea-Fêmea x40 Unidades</t>
  </si>
  <si>
    <t>Placa ESP32 com Display Oled</t>
  </si>
  <si>
    <t>Observação</t>
  </si>
  <si>
    <t>Dano Elétrico</t>
  </si>
  <si>
    <t>Cabo Micro USB 1 metro</t>
  </si>
  <si>
    <t>Placa de Fenolite Perfurada - 7x9cm</t>
  </si>
  <si>
    <t>Com ferro de solda comum solta a ilha. Não deu para usar.</t>
  </si>
  <si>
    <t>Raspberry Pi Pico 2 W</t>
  </si>
  <si>
    <t>Plug Banana 4mm Preto e Vermelho</t>
  </si>
  <si>
    <t>Kit Componentes Resistor, Led, Botão, Protoboard, 1 Arduino</t>
  </si>
  <si>
    <t>Mercado Livre</t>
  </si>
  <si>
    <t xml:space="preserve">Ubiquiti LiteBeam 5AC Gen2 </t>
  </si>
  <si>
    <t xml:space="preserve">Roteador Archer EX2020 V2.8 </t>
  </si>
  <si>
    <t>Cabo de rede Cat 7 P Dante  Ndi POE 10GBPS</t>
  </si>
  <si>
    <t xml:space="preserve">Cabo de rede Cat 6  20 m </t>
  </si>
  <si>
    <t xml:space="preserve">Cabo de rede Cat 6 10 m </t>
  </si>
  <si>
    <t>Bateria Carregador Portátil Sansung Eb-p3400 10.000mah 2 entrada</t>
  </si>
  <si>
    <t xml:space="preserve">Adaptador OTG USB Tipo C </t>
  </si>
  <si>
    <t>Cabo Pp 2.5 mm Elétrico 50 m Antichamas  p/ extensão</t>
  </si>
  <si>
    <t>1 apresentou falha (analisado fornecedor e trocado)</t>
  </si>
  <si>
    <t>Apresentou falha WI-Fi (analisado fornecedor e trocado)</t>
  </si>
  <si>
    <t xml:space="preserve">Total das despesas Projeto </t>
  </si>
  <si>
    <t>Custo ao longo do projeto nos 18 meses de curso (sem atualização)</t>
  </si>
  <si>
    <t>Kit Raspberry PI 5 (16 GB)</t>
  </si>
  <si>
    <t>Teclado, Mouse, Adaptador AC, Case, Headsink</t>
  </si>
  <si>
    <t>Suporte para ferro de solda com Esponja Metálica Hikari HSF-20S</t>
  </si>
  <si>
    <t>Lupa com suporte e pinça</t>
  </si>
  <si>
    <t xml:space="preserve">Cano de aço galvanizado de 4" </t>
  </si>
  <si>
    <t>1 Arduino e 1 DHT22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</si>
</sst>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2" fillId="2" borderId="8" xfId="0" applyFont="1" applyFill="1" applyBorder="1"/>
    <xf numFmtId="0" fontId="1" fillId="2" borderId="8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F003-3B4B-4C9C-ADE2-C71100D9BE74}">
  <sheetPr>
    <tabColor rgb="FFFF0000"/>
  </sheetPr>
  <dimension ref="D2:H39"/>
  <sheetViews>
    <sheetView showGridLines="0" zoomScale="75" zoomScaleNormal="75" workbookViewId="0">
      <selection activeCell="D25" sqref="D25:F25"/>
    </sheetView>
  </sheetViews>
  <sheetFormatPr defaultRowHeight="14.4" x14ac:dyDescent="0.3"/>
  <cols>
    <col min="4" max="4" width="57.6640625" bestFit="1" customWidth="1"/>
    <col min="5" max="5" width="7.44140625" customWidth="1"/>
    <col min="6" max="6" width="10.6640625" bestFit="1" customWidth="1"/>
    <col min="7" max="7" width="25.109375" customWidth="1"/>
    <col min="8" max="8" width="53" bestFit="1" customWidth="1"/>
  </cols>
  <sheetData>
    <row r="2" spans="4:8" ht="15" thickBot="1" x14ac:dyDescent="0.35"/>
    <row r="3" spans="4:8" ht="16.2" thickBot="1" x14ac:dyDescent="0.35">
      <c r="D3" s="13" t="s">
        <v>0</v>
      </c>
      <c r="E3" s="14" t="s">
        <v>5</v>
      </c>
      <c r="F3" s="14" t="s">
        <v>2</v>
      </c>
      <c r="G3" s="14" t="s">
        <v>1</v>
      </c>
      <c r="H3" s="15" t="s">
        <v>19</v>
      </c>
    </row>
    <row r="4" spans="4:8" x14ac:dyDescent="0.3">
      <c r="D4" s="10" t="s">
        <v>3</v>
      </c>
      <c r="E4" s="11">
        <v>2</v>
      </c>
      <c r="F4" s="11">
        <v>97.9</v>
      </c>
      <c r="G4" s="11" t="s">
        <v>4</v>
      </c>
      <c r="H4" s="12"/>
    </row>
    <row r="5" spans="4:8" x14ac:dyDescent="0.3">
      <c r="D5" s="2" t="s">
        <v>6</v>
      </c>
      <c r="E5" s="1">
        <v>5</v>
      </c>
      <c r="F5" s="1">
        <v>49.9</v>
      </c>
      <c r="G5" s="1" t="s">
        <v>4</v>
      </c>
      <c r="H5" s="3" t="s">
        <v>36</v>
      </c>
    </row>
    <row r="6" spans="4:8" x14ac:dyDescent="0.3">
      <c r="D6" s="2" t="s">
        <v>7</v>
      </c>
      <c r="E6" s="1">
        <v>3</v>
      </c>
      <c r="F6" s="1">
        <v>29.95</v>
      </c>
      <c r="G6" s="1" t="s">
        <v>4</v>
      </c>
      <c r="H6" s="3"/>
    </row>
    <row r="7" spans="4:8" x14ac:dyDescent="0.3">
      <c r="D7" s="2" t="s">
        <v>8</v>
      </c>
      <c r="E7" s="1">
        <v>1</v>
      </c>
      <c r="F7" s="1">
        <v>8.9</v>
      </c>
      <c r="G7" s="1" t="s">
        <v>4</v>
      </c>
      <c r="H7" s="3"/>
    </row>
    <row r="8" spans="4:8" x14ac:dyDescent="0.3">
      <c r="D8" s="2" t="s">
        <v>9</v>
      </c>
      <c r="E8" s="1">
        <v>1</v>
      </c>
      <c r="F8" s="1">
        <v>59.9</v>
      </c>
      <c r="G8" s="1" t="s">
        <v>4</v>
      </c>
      <c r="H8" s="3"/>
    </row>
    <row r="9" spans="4:8" x14ac:dyDescent="0.3">
      <c r="D9" s="2" t="s">
        <v>10</v>
      </c>
      <c r="E9" s="1">
        <v>1</v>
      </c>
      <c r="F9" s="1">
        <v>21.9</v>
      </c>
      <c r="G9" s="1" t="s">
        <v>4</v>
      </c>
      <c r="H9" s="3"/>
    </row>
    <row r="10" spans="4:8" x14ac:dyDescent="0.3">
      <c r="D10" s="2" t="s">
        <v>11</v>
      </c>
      <c r="E10" s="1">
        <v>1</v>
      </c>
      <c r="F10" s="1">
        <v>49.9</v>
      </c>
      <c r="G10" s="1" t="s">
        <v>4</v>
      </c>
      <c r="H10" s="3"/>
    </row>
    <row r="11" spans="4:8" x14ac:dyDescent="0.3">
      <c r="D11" s="2" t="s">
        <v>12</v>
      </c>
      <c r="E11" s="1">
        <v>3</v>
      </c>
      <c r="F11" s="1">
        <v>1.47</v>
      </c>
      <c r="G11" s="1" t="s">
        <v>4</v>
      </c>
      <c r="H11" s="3"/>
    </row>
    <row r="12" spans="4:8" x14ac:dyDescent="0.3">
      <c r="D12" s="2" t="s">
        <v>13</v>
      </c>
      <c r="E12" s="1">
        <v>3</v>
      </c>
      <c r="F12" s="1">
        <v>11.7</v>
      </c>
      <c r="G12" s="1" t="s">
        <v>4</v>
      </c>
      <c r="H12" s="3"/>
    </row>
    <row r="13" spans="4:8" x14ac:dyDescent="0.3">
      <c r="D13" s="2" t="s">
        <v>14</v>
      </c>
      <c r="E13" s="1">
        <v>2</v>
      </c>
      <c r="F13" s="1">
        <v>5.8</v>
      </c>
      <c r="G13" s="1" t="s">
        <v>4</v>
      </c>
      <c r="H13" s="3"/>
    </row>
    <row r="14" spans="4:8" x14ac:dyDescent="0.3">
      <c r="D14" s="2" t="s">
        <v>15</v>
      </c>
      <c r="E14" s="1">
        <v>2</v>
      </c>
      <c r="F14" s="1">
        <v>12.4</v>
      </c>
      <c r="G14" s="1" t="s">
        <v>4</v>
      </c>
      <c r="H14" s="3"/>
    </row>
    <row r="15" spans="4:8" x14ac:dyDescent="0.3">
      <c r="D15" s="2" t="s">
        <v>16</v>
      </c>
      <c r="E15" s="1">
        <v>1</v>
      </c>
      <c r="F15" s="1">
        <v>7.9</v>
      </c>
      <c r="G15" s="1" t="s">
        <v>4</v>
      </c>
      <c r="H15" s="3"/>
    </row>
    <row r="16" spans="4:8" x14ac:dyDescent="0.3">
      <c r="D16" s="2" t="s">
        <v>17</v>
      </c>
      <c r="E16" s="1">
        <v>1</v>
      </c>
      <c r="F16" s="1">
        <v>7.9</v>
      </c>
      <c r="G16" s="1" t="s">
        <v>4</v>
      </c>
      <c r="H16" s="3"/>
    </row>
    <row r="17" spans="4:8" x14ac:dyDescent="0.3">
      <c r="D17" s="2" t="s">
        <v>18</v>
      </c>
      <c r="E17" s="1">
        <v>1</v>
      </c>
      <c r="F17" s="1">
        <v>99.9</v>
      </c>
      <c r="G17" s="1" t="s">
        <v>4</v>
      </c>
      <c r="H17" s="3" t="s">
        <v>20</v>
      </c>
    </row>
    <row r="18" spans="4:8" x14ac:dyDescent="0.3">
      <c r="D18" s="2" t="s">
        <v>21</v>
      </c>
      <c r="E18" s="1">
        <v>2</v>
      </c>
      <c r="F18" s="1">
        <v>23.8</v>
      </c>
      <c r="G18" s="1" t="s">
        <v>4</v>
      </c>
      <c r="H18" s="3"/>
    </row>
    <row r="19" spans="4:8" x14ac:dyDescent="0.3">
      <c r="D19" s="2" t="s">
        <v>22</v>
      </c>
      <c r="E19" s="1">
        <v>4</v>
      </c>
      <c r="F19" s="1">
        <v>15.6</v>
      </c>
      <c r="G19" s="1" t="s">
        <v>4</v>
      </c>
      <c r="H19" s="3" t="s">
        <v>23</v>
      </c>
    </row>
    <row r="20" spans="4:8" x14ac:dyDescent="0.3">
      <c r="D20" s="2" t="s">
        <v>24</v>
      </c>
      <c r="E20" s="1">
        <v>2</v>
      </c>
      <c r="F20" s="1">
        <v>135.80000000000001</v>
      </c>
      <c r="G20" s="1" t="s">
        <v>4</v>
      </c>
      <c r="H20" s="3" t="s">
        <v>37</v>
      </c>
    </row>
    <row r="21" spans="4:8" x14ac:dyDescent="0.3">
      <c r="D21" s="2" t="s">
        <v>43</v>
      </c>
      <c r="E21" s="1">
        <v>1</v>
      </c>
      <c r="F21" s="1">
        <v>73.900000000000006</v>
      </c>
      <c r="G21" s="1" t="s">
        <v>4</v>
      </c>
      <c r="H21" s="3"/>
    </row>
    <row r="22" spans="4:8" x14ac:dyDescent="0.3">
      <c r="D22" s="2" t="s">
        <v>42</v>
      </c>
      <c r="E22" s="1">
        <v>1</v>
      </c>
      <c r="F22" s="1">
        <v>75.900000000000006</v>
      </c>
      <c r="G22" s="1" t="s">
        <v>4</v>
      </c>
      <c r="H22" s="3"/>
    </row>
    <row r="23" spans="4:8" x14ac:dyDescent="0.3">
      <c r="D23" s="2" t="s">
        <v>40</v>
      </c>
      <c r="E23" s="1">
        <v>1</v>
      </c>
      <c r="F23" s="1">
        <v>2339.9</v>
      </c>
      <c r="G23" s="1" t="s">
        <v>4</v>
      </c>
      <c r="H23" s="3" t="s">
        <v>41</v>
      </c>
    </row>
    <row r="24" spans="4:8" x14ac:dyDescent="0.3">
      <c r="D24" s="2" t="s">
        <v>25</v>
      </c>
      <c r="E24" s="1">
        <v>1</v>
      </c>
      <c r="F24" s="1">
        <v>12.8</v>
      </c>
      <c r="G24" s="1" t="s">
        <v>4</v>
      </c>
      <c r="H24" s="3"/>
    </row>
    <row r="25" spans="4:8" x14ac:dyDescent="0.3">
      <c r="D25" s="2" t="s">
        <v>26</v>
      </c>
      <c r="E25" s="1">
        <v>1</v>
      </c>
      <c r="F25" s="1">
        <v>90</v>
      </c>
      <c r="G25" s="1" t="s">
        <v>27</v>
      </c>
      <c r="H25" s="3"/>
    </row>
    <row r="26" spans="4:8" x14ac:dyDescent="0.3">
      <c r="D26" s="2" t="s">
        <v>28</v>
      </c>
      <c r="E26" s="1">
        <v>2</v>
      </c>
      <c r="F26" s="16">
        <v>1414</v>
      </c>
      <c r="G26" s="17" t="s">
        <v>27</v>
      </c>
      <c r="H26" s="3"/>
    </row>
    <row r="27" spans="4:8" x14ac:dyDescent="0.3">
      <c r="D27" s="2" t="s">
        <v>29</v>
      </c>
      <c r="E27" s="1">
        <v>1</v>
      </c>
      <c r="F27" s="16"/>
      <c r="G27" s="17"/>
      <c r="H27" s="3"/>
    </row>
    <row r="28" spans="4:8" x14ac:dyDescent="0.3">
      <c r="D28" s="2" t="s">
        <v>30</v>
      </c>
      <c r="E28" s="1">
        <v>2</v>
      </c>
      <c r="F28" s="1">
        <v>179.8</v>
      </c>
      <c r="G28" s="1" t="s">
        <v>27</v>
      </c>
      <c r="H28" s="3"/>
    </row>
    <row r="29" spans="4:8" x14ac:dyDescent="0.3">
      <c r="D29" s="2" t="s">
        <v>31</v>
      </c>
      <c r="E29" s="1">
        <v>1</v>
      </c>
      <c r="F29" s="16">
        <v>122.7</v>
      </c>
      <c r="G29" s="17" t="s">
        <v>27</v>
      </c>
      <c r="H29" s="3"/>
    </row>
    <row r="30" spans="4:8" x14ac:dyDescent="0.3">
      <c r="D30" s="2" t="s">
        <v>32</v>
      </c>
      <c r="E30" s="1">
        <v>2</v>
      </c>
      <c r="F30" s="16"/>
      <c r="G30" s="17"/>
      <c r="H30" s="3"/>
    </row>
    <row r="31" spans="4:8" x14ac:dyDescent="0.3">
      <c r="D31" s="2" t="s">
        <v>33</v>
      </c>
      <c r="E31" s="1">
        <v>1</v>
      </c>
      <c r="F31" s="1">
        <v>164.19</v>
      </c>
      <c r="G31" s="1" t="s">
        <v>27</v>
      </c>
      <c r="H31" s="3"/>
    </row>
    <row r="32" spans="4:8" x14ac:dyDescent="0.3">
      <c r="D32" s="2" t="s">
        <v>34</v>
      </c>
      <c r="E32" s="1">
        <v>3</v>
      </c>
      <c r="F32" s="1">
        <v>68.900000000000006</v>
      </c>
      <c r="G32" s="1" t="s">
        <v>27</v>
      </c>
      <c r="H32" s="3"/>
    </row>
    <row r="33" spans="4:8" x14ac:dyDescent="0.3">
      <c r="D33" s="2" t="s">
        <v>35</v>
      </c>
      <c r="E33" s="1">
        <v>3</v>
      </c>
      <c r="F33" s="1">
        <v>719.7</v>
      </c>
      <c r="G33" s="1" t="s">
        <v>27</v>
      </c>
      <c r="H33" s="3"/>
    </row>
    <row r="34" spans="4:8" x14ac:dyDescent="0.3">
      <c r="D34" s="2" t="s">
        <v>44</v>
      </c>
      <c r="E34" s="1">
        <v>1</v>
      </c>
      <c r="F34" s="1"/>
      <c r="G34" s="1"/>
      <c r="H34" s="3"/>
    </row>
    <row r="35" spans="4:8" x14ac:dyDescent="0.3">
      <c r="D35" s="2" t="s">
        <v>45</v>
      </c>
      <c r="E35" s="1">
        <v>1</v>
      </c>
      <c r="F35" s="1"/>
      <c r="G35" s="1"/>
      <c r="H35" s="3"/>
    </row>
    <row r="36" spans="4:8" x14ac:dyDescent="0.3">
      <c r="D36" s="2"/>
      <c r="E36" s="1"/>
      <c r="F36" s="1"/>
      <c r="G36" s="1"/>
      <c r="H36" s="3"/>
    </row>
    <row r="37" spans="4:8" x14ac:dyDescent="0.3">
      <c r="D37" s="2"/>
      <c r="E37" s="1"/>
      <c r="F37" s="1"/>
      <c r="G37" s="1"/>
      <c r="H37" s="3"/>
    </row>
    <row r="38" spans="4:8" ht="15" thickBot="1" x14ac:dyDescent="0.35">
      <c r="D38" s="4"/>
      <c r="E38" s="5"/>
      <c r="F38" s="5"/>
      <c r="G38" s="5"/>
      <c r="H38" s="6"/>
    </row>
    <row r="39" spans="4:8" ht="16.2" thickBot="1" x14ac:dyDescent="0.35">
      <c r="D39" s="7" t="s">
        <v>38</v>
      </c>
      <c r="E39" s="8">
        <f>SUM(E4:E38)</f>
        <v>57</v>
      </c>
      <c r="F39" s="9">
        <f>SUM(F4:F38)</f>
        <v>5902.41</v>
      </c>
      <c r="G39" s="18" t="s">
        <v>39</v>
      </c>
      <c r="H39" s="19"/>
    </row>
  </sheetData>
  <mergeCells count="5">
    <mergeCell ref="F26:F27"/>
    <mergeCell ref="G26:G27"/>
    <mergeCell ref="F29:F30"/>
    <mergeCell ref="G29:G30"/>
    <mergeCell ref="G39:H3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E29E-7B5A-4DBE-B825-AE14051130B1}">
  <sheetPr>
    <tabColor rgb="FFFF0000"/>
  </sheetPr>
  <dimension ref="D2:H39"/>
  <sheetViews>
    <sheetView zoomScale="70" zoomScaleNormal="70" workbookViewId="0">
      <selection activeCell="K7" sqref="K7"/>
    </sheetView>
  </sheetViews>
  <sheetFormatPr defaultRowHeight="14.4" x14ac:dyDescent="0.3"/>
  <cols>
    <col min="4" max="4" width="57.6640625" bestFit="1" customWidth="1"/>
    <col min="5" max="5" width="7.44140625" customWidth="1"/>
    <col min="6" max="6" width="10.6640625" bestFit="1" customWidth="1"/>
    <col min="7" max="7" width="25.109375" customWidth="1"/>
    <col min="8" max="8" width="49.6640625" bestFit="1" customWidth="1"/>
  </cols>
  <sheetData>
    <row r="2" spans="4:8" ht="15" thickBot="1" x14ac:dyDescent="0.35"/>
    <row r="3" spans="4:8" ht="16.2" thickBot="1" x14ac:dyDescent="0.35">
      <c r="D3" s="13" t="s">
        <v>0</v>
      </c>
      <c r="E3" s="14" t="s">
        <v>5</v>
      </c>
      <c r="F3" s="14" t="s">
        <v>2</v>
      </c>
      <c r="G3" s="14" t="s">
        <v>1</v>
      </c>
      <c r="H3" s="15" t="s">
        <v>19</v>
      </c>
    </row>
    <row r="4" spans="4:8" x14ac:dyDescent="0.3">
      <c r="D4" s="10"/>
      <c r="E4" s="11"/>
      <c r="F4" s="11"/>
      <c r="G4" s="11"/>
      <c r="H4" s="12"/>
    </row>
    <row r="5" spans="4:8" x14ac:dyDescent="0.3">
      <c r="D5" s="2" t="s">
        <v>6</v>
      </c>
      <c r="E5" s="1">
        <v>5</v>
      </c>
      <c r="F5" s="1">
        <v>49.9</v>
      </c>
      <c r="G5" s="1" t="s">
        <v>4</v>
      </c>
      <c r="H5" s="3" t="s">
        <v>36</v>
      </c>
    </row>
    <row r="6" spans="4:8" x14ac:dyDescent="0.3">
      <c r="D6" s="2" t="s">
        <v>7</v>
      </c>
      <c r="E6" s="1">
        <v>3</v>
      </c>
      <c r="F6" s="1">
        <v>29.95</v>
      </c>
      <c r="G6" s="1" t="s">
        <v>4</v>
      </c>
      <c r="H6" s="3"/>
    </row>
    <row r="7" spans="4:8" x14ac:dyDescent="0.3">
      <c r="D7" s="2" t="s">
        <v>8</v>
      </c>
      <c r="E7" s="1">
        <v>1</v>
      </c>
      <c r="F7" s="1">
        <v>8.9</v>
      </c>
      <c r="G7" s="1" t="s">
        <v>4</v>
      </c>
      <c r="H7" s="3"/>
    </row>
    <row r="8" spans="4:8" x14ac:dyDescent="0.3">
      <c r="D8" s="2" t="s">
        <v>9</v>
      </c>
      <c r="E8" s="1">
        <v>1</v>
      </c>
      <c r="F8" s="1">
        <v>59.9</v>
      </c>
      <c r="G8" s="1" t="s">
        <v>4</v>
      </c>
      <c r="H8" s="3"/>
    </row>
    <row r="9" spans="4:8" x14ac:dyDescent="0.3">
      <c r="D9" s="2" t="s">
        <v>10</v>
      </c>
      <c r="E9" s="1">
        <v>1</v>
      </c>
      <c r="F9" s="1">
        <v>21.9</v>
      </c>
      <c r="G9" s="1" t="s">
        <v>4</v>
      </c>
      <c r="H9" s="3"/>
    </row>
    <row r="10" spans="4:8" x14ac:dyDescent="0.3">
      <c r="D10" s="2" t="s">
        <v>11</v>
      </c>
      <c r="E10" s="1">
        <v>1</v>
      </c>
      <c r="F10" s="1">
        <v>49.9</v>
      </c>
      <c r="G10" s="1" t="s">
        <v>4</v>
      </c>
      <c r="H10" s="3"/>
    </row>
    <row r="11" spans="4:8" x14ac:dyDescent="0.3">
      <c r="D11" s="2" t="s">
        <v>12</v>
      </c>
      <c r="E11" s="1">
        <v>3</v>
      </c>
      <c r="F11" s="1">
        <v>1.47</v>
      </c>
      <c r="G11" s="1" t="s">
        <v>4</v>
      </c>
      <c r="H11" s="3"/>
    </row>
    <row r="12" spans="4:8" x14ac:dyDescent="0.3">
      <c r="D12" s="2" t="s">
        <v>13</v>
      </c>
      <c r="E12" s="1">
        <v>3</v>
      </c>
      <c r="F12" s="1">
        <v>11.7</v>
      </c>
      <c r="G12" s="1" t="s">
        <v>4</v>
      </c>
      <c r="H12" s="3"/>
    </row>
    <row r="13" spans="4:8" x14ac:dyDescent="0.3">
      <c r="D13" s="2" t="s">
        <v>14</v>
      </c>
      <c r="E13" s="1">
        <v>2</v>
      </c>
      <c r="F13" s="1">
        <v>5.8</v>
      </c>
      <c r="G13" s="1" t="s">
        <v>4</v>
      </c>
      <c r="H13" s="3"/>
    </row>
    <row r="14" spans="4:8" x14ac:dyDescent="0.3">
      <c r="D14" s="2" t="s">
        <v>15</v>
      </c>
      <c r="E14" s="1">
        <v>2</v>
      </c>
      <c r="F14" s="1">
        <v>12.4</v>
      </c>
      <c r="G14" s="1" t="s">
        <v>4</v>
      </c>
      <c r="H14" s="3"/>
    </row>
    <row r="15" spans="4:8" x14ac:dyDescent="0.3">
      <c r="D15" s="2" t="s">
        <v>16</v>
      </c>
      <c r="E15" s="1">
        <v>1</v>
      </c>
      <c r="F15" s="1">
        <v>7.9</v>
      </c>
      <c r="G15" s="1" t="s">
        <v>4</v>
      </c>
      <c r="H15" s="3"/>
    </row>
    <row r="16" spans="4:8" x14ac:dyDescent="0.3">
      <c r="D16" s="2" t="s">
        <v>17</v>
      </c>
      <c r="E16" s="1">
        <v>1</v>
      </c>
      <c r="F16" s="1">
        <v>7.9</v>
      </c>
      <c r="G16" s="1" t="s">
        <v>4</v>
      </c>
      <c r="H16" s="3"/>
    </row>
    <row r="17" spans="4:8" x14ac:dyDescent="0.3">
      <c r="D17" s="2"/>
      <c r="E17" s="1"/>
      <c r="F17" s="1"/>
      <c r="G17" s="1" t="s">
        <v>4</v>
      </c>
      <c r="H17" s="3" t="s">
        <v>20</v>
      </c>
    </row>
    <row r="18" spans="4:8" x14ac:dyDescent="0.3">
      <c r="D18" s="2"/>
      <c r="E18" s="1"/>
      <c r="F18" s="1"/>
      <c r="G18" s="1"/>
      <c r="H18" s="3"/>
    </row>
    <row r="19" spans="4:8" x14ac:dyDescent="0.3">
      <c r="D19" s="2" t="s">
        <v>22</v>
      </c>
      <c r="E19" s="1">
        <v>4</v>
      </c>
      <c r="F19" s="1">
        <v>15.6</v>
      </c>
      <c r="G19" s="1" t="s">
        <v>4</v>
      </c>
      <c r="H19" s="3" t="s">
        <v>23</v>
      </c>
    </row>
    <row r="20" spans="4:8" x14ac:dyDescent="0.3">
      <c r="D20" s="2"/>
      <c r="E20" s="1"/>
      <c r="F20" s="1"/>
      <c r="G20" s="1"/>
      <c r="H20" s="3" t="s">
        <v>37</v>
      </c>
    </row>
    <row r="21" spans="4:8" x14ac:dyDescent="0.3">
      <c r="D21" s="2" t="s">
        <v>43</v>
      </c>
      <c r="E21" s="1">
        <v>1</v>
      </c>
      <c r="F21" s="1">
        <v>73.900000000000006</v>
      </c>
      <c r="G21" s="1" t="s">
        <v>4</v>
      </c>
      <c r="H21" s="3"/>
    </row>
    <row r="22" spans="4:8" x14ac:dyDescent="0.3">
      <c r="D22" s="2" t="s">
        <v>42</v>
      </c>
      <c r="E22" s="1">
        <v>1</v>
      </c>
      <c r="F22" s="1">
        <v>75.900000000000006</v>
      </c>
      <c r="G22" s="1" t="s">
        <v>4</v>
      </c>
      <c r="H22" s="3"/>
    </row>
    <row r="23" spans="4:8" x14ac:dyDescent="0.3">
      <c r="D23" s="2"/>
      <c r="E23" s="1"/>
      <c r="F23" s="1"/>
      <c r="G23" s="1" t="s">
        <v>4</v>
      </c>
      <c r="H23" s="3" t="s">
        <v>41</v>
      </c>
    </row>
    <row r="24" spans="4:8" x14ac:dyDescent="0.3">
      <c r="D24" s="2" t="s">
        <v>25</v>
      </c>
      <c r="E24" s="1">
        <v>1</v>
      </c>
      <c r="F24" s="1">
        <v>12.8</v>
      </c>
      <c r="G24" s="1" t="s">
        <v>4</v>
      </c>
      <c r="H24" s="3"/>
    </row>
    <row r="25" spans="4:8" x14ac:dyDescent="0.3">
      <c r="D25" s="2" t="s">
        <v>26</v>
      </c>
      <c r="E25" s="1">
        <v>4</v>
      </c>
      <c r="F25" s="1">
        <v>360</v>
      </c>
      <c r="G25" s="1" t="s">
        <v>27</v>
      </c>
      <c r="H25" s="3"/>
    </row>
    <row r="26" spans="4:8" x14ac:dyDescent="0.3">
      <c r="D26" s="2"/>
      <c r="E26" s="1"/>
      <c r="F26" s="16"/>
      <c r="G26" s="17" t="s">
        <v>27</v>
      </c>
      <c r="H26" s="3"/>
    </row>
    <row r="27" spans="4:8" x14ac:dyDescent="0.3">
      <c r="D27" s="2"/>
      <c r="E27" s="1"/>
      <c r="F27" s="16"/>
      <c r="G27" s="17"/>
      <c r="H27" s="3"/>
    </row>
    <row r="28" spans="4:8" x14ac:dyDescent="0.3">
      <c r="D28" s="2"/>
      <c r="E28" s="1"/>
      <c r="F28" s="1"/>
      <c r="G28" s="1" t="s">
        <v>27</v>
      </c>
      <c r="H28" s="3"/>
    </row>
    <row r="29" spans="4:8" x14ac:dyDescent="0.3">
      <c r="D29" s="2"/>
      <c r="E29" s="1"/>
      <c r="F29" s="16"/>
      <c r="G29" s="17" t="s">
        <v>27</v>
      </c>
      <c r="H29" s="3"/>
    </row>
    <row r="30" spans="4:8" x14ac:dyDescent="0.3">
      <c r="D30" s="2"/>
      <c r="E30" s="1"/>
      <c r="F30" s="16"/>
      <c r="G30" s="17"/>
      <c r="H30" s="3"/>
    </row>
    <row r="31" spans="4:8" x14ac:dyDescent="0.3">
      <c r="D31" s="2" t="s">
        <v>33</v>
      </c>
      <c r="E31" s="1">
        <v>1</v>
      </c>
      <c r="F31" s="1">
        <v>164.19</v>
      </c>
      <c r="G31" s="1" t="s">
        <v>27</v>
      </c>
      <c r="H31" s="3"/>
    </row>
    <row r="32" spans="4:8" x14ac:dyDescent="0.3">
      <c r="D32" s="2" t="s">
        <v>34</v>
      </c>
      <c r="E32" s="1">
        <v>3</v>
      </c>
      <c r="F32" s="1">
        <v>68.900000000000006</v>
      </c>
      <c r="G32" s="1" t="s">
        <v>27</v>
      </c>
      <c r="H32" s="3"/>
    </row>
    <row r="33" spans="4:8" x14ac:dyDescent="0.3">
      <c r="D33" s="2"/>
      <c r="E33" s="1"/>
      <c r="F33" s="1">
        <v>719.7</v>
      </c>
      <c r="G33" s="1" t="s">
        <v>27</v>
      </c>
      <c r="H33" s="3"/>
    </row>
    <row r="34" spans="4:8" x14ac:dyDescent="0.3">
      <c r="D34" s="2"/>
      <c r="E34" s="1"/>
      <c r="F34" s="1"/>
      <c r="G34" s="1"/>
      <c r="H34" s="3"/>
    </row>
    <row r="35" spans="4:8" x14ac:dyDescent="0.3">
      <c r="D35" s="2"/>
      <c r="E35" s="1"/>
      <c r="F35" s="1"/>
      <c r="G35" s="1"/>
      <c r="H35" s="3"/>
    </row>
    <row r="36" spans="4:8" x14ac:dyDescent="0.3">
      <c r="D36" s="2"/>
      <c r="E36" s="1"/>
      <c r="F36" s="1"/>
      <c r="G36" s="1"/>
      <c r="H36" s="3"/>
    </row>
    <row r="37" spans="4:8" x14ac:dyDescent="0.3">
      <c r="D37" s="2"/>
      <c r="E37" s="1"/>
      <c r="F37" s="1"/>
      <c r="G37" s="1"/>
      <c r="H37" s="3"/>
    </row>
    <row r="38" spans="4:8" ht="15" thickBot="1" x14ac:dyDescent="0.35">
      <c r="D38" s="4"/>
      <c r="E38" s="5"/>
      <c r="F38" s="5"/>
      <c r="G38" s="5"/>
      <c r="H38" s="6"/>
    </row>
    <row r="39" spans="4:8" ht="16.2" thickBot="1" x14ac:dyDescent="0.35">
      <c r="D39" s="7" t="s">
        <v>38</v>
      </c>
      <c r="E39" s="8">
        <f>SUM(E4:E38)</f>
        <v>39</v>
      </c>
      <c r="F39" s="9">
        <f>SUM(F4:F38)</f>
        <v>1758.6100000000001</v>
      </c>
      <c r="G39" s="18" t="s">
        <v>39</v>
      </c>
      <c r="H39" s="19"/>
    </row>
  </sheetData>
  <mergeCells count="5">
    <mergeCell ref="F26:F27"/>
    <mergeCell ref="G26:G27"/>
    <mergeCell ref="F29:F30"/>
    <mergeCell ref="G29:G30"/>
    <mergeCell ref="G39:H3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A1EC-715B-4A7C-8E66-8B474BE4774B}">
  <sheetPr>
    <tabColor rgb="FFFF0000"/>
  </sheetPr>
  <dimension ref="D2:H39"/>
  <sheetViews>
    <sheetView workbookViewId="0">
      <selection activeCell="F39" sqref="F39"/>
    </sheetView>
  </sheetViews>
  <sheetFormatPr defaultRowHeight="14.4" x14ac:dyDescent="0.3"/>
  <cols>
    <col min="4" max="4" width="57.6640625" bestFit="1" customWidth="1"/>
    <col min="5" max="5" width="7.44140625" customWidth="1"/>
    <col min="6" max="6" width="10.6640625" bestFit="1" customWidth="1"/>
    <col min="7" max="7" width="25.109375" customWidth="1"/>
    <col min="8" max="8" width="48.21875" bestFit="1" customWidth="1"/>
  </cols>
  <sheetData>
    <row r="2" spans="4:8" ht="15" thickBot="1" x14ac:dyDescent="0.35"/>
    <row r="3" spans="4:8" ht="16.2" thickBot="1" x14ac:dyDescent="0.35">
      <c r="D3" s="13" t="s">
        <v>0</v>
      </c>
      <c r="E3" s="14" t="s">
        <v>5</v>
      </c>
      <c r="F3" s="14" t="s">
        <v>2</v>
      </c>
      <c r="G3" s="14" t="s">
        <v>1</v>
      </c>
      <c r="H3" s="15" t="s">
        <v>19</v>
      </c>
    </row>
    <row r="4" spans="4:8" x14ac:dyDescent="0.3">
      <c r="D4" s="10" t="s">
        <v>3</v>
      </c>
      <c r="E4" s="11">
        <v>2</v>
      </c>
      <c r="F4" s="11">
        <v>97.9</v>
      </c>
      <c r="G4" s="11" t="s">
        <v>4</v>
      </c>
      <c r="H4" s="12"/>
    </row>
    <row r="5" spans="4:8" x14ac:dyDescent="0.3">
      <c r="D5" s="2" t="s">
        <v>6</v>
      </c>
      <c r="E5" s="1">
        <v>5</v>
      </c>
      <c r="F5" s="1">
        <v>49.9</v>
      </c>
      <c r="G5" s="1" t="s">
        <v>4</v>
      </c>
      <c r="H5" s="3" t="s">
        <v>36</v>
      </c>
    </row>
    <row r="6" spans="4:8" x14ac:dyDescent="0.3">
      <c r="D6" s="2" t="s">
        <v>7</v>
      </c>
      <c r="E6" s="1">
        <v>3</v>
      </c>
      <c r="F6" s="1">
        <v>29.95</v>
      </c>
      <c r="G6" s="1" t="s">
        <v>4</v>
      </c>
      <c r="H6" s="3"/>
    </row>
    <row r="7" spans="4:8" x14ac:dyDescent="0.3">
      <c r="D7" s="2"/>
      <c r="E7" s="1"/>
      <c r="F7" s="1"/>
      <c r="G7" s="1"/>
      <c r="H7" s="3"/>
    </row>
    <row r="8" spans="4:8" x14ac:dyDescent="0.3">
      <c r="D8" s="2"/>
      <c r="E8" s="1"/>
      <c r="F8" s="1"/>
      <c r="G8" s="1"/>
      <c r="H8" s="3"/>
    </row>
    <row r="9" spans="4:8" x14ac:dyDescent="0.3">
      <c r="D9" s="2"/>
      <c r="E9" s="1"/>
      <c r="F9" s="1"/>
      <c r="G9" s="1"/>
      <c r="H9" s="3"/>
    </row>
    <row r="10" spans="4:8" x14ac:dyDescent="0.3">
      <c r="D10" s="2" t="s">
        <v>11</v>
      </c>
      <c r="E10" s="1">
        <v>1</v>
      </c>
      <c r="F10" s="1">
        <v>49.9</v>
      </c>
      <c r="G10" s="1" t="s">
        <v>4</v>
      </c>
      <c r="H10" s="3"/>
    </row>
    <row r="11" spans="4:8" x14ac:dyDescent="0.3">
      <c r="D11" s="2" t="s">
        <v>12</v>
      </c>
      <c r="E11" s="1">
        <v>3</v>
      </c>
      <c r="F11" s="1">
        <v>1.47</v>
      </c>
      <c r="G11" s="1" t="s">
        <v>4</v>
      </c>
      <c r="H11" s="3"/>
    </row>
    <row r="12" spans="4:8" x14ac:dyDescent="0.3">
      <c r="D12" s="2" t="s">
        <v>13</v>
      </c>
      <c r="E12" s="1">
        <v>3</v>
      </c>
      <c r="F12" s="1">
        <v>11.7</v>
      </c>
      <c r="G12" s="1" t="s">
        <v>4</v>
      </c>
      <c r="H12" s="3"/>
    </row>
    <row r="13" spans="4:8" x14ac:dyDescent="0.3">
      <c r="D13" s="2" t="s">
        <v>14</v>
      </c>
      <c r="E13" s="1">
        <v>2</v>
      </c>
      <c r="F13" s="1">
        <v>5.8</v>
      </c>
      <c r="G13" s="1" t="s">
        <v>4</v>
      </c>
      <c r="H13" s="3"/>
    </row>
    <row r="14" spans="4:8" x14ac:dyDescent="0.3">
      <c r="D14" s="2" t="s">
        <v>15</v>
      </c>
      <c r="E14" s="1">
        <v>2</v>
      </c>
      <c r="F14" s="1">
        <v>12.4</v>
      </c>
      <c r="G14" s="1" t="s">
        <v>4</v>
      </c>
      <c r="H14" s="3"/>
    </row>
    <row r="15" spans="4:8" x14ac:dyDescent="0.3">
      <c r="D15" s="2" t="s">
        <v>16</v>
      </c>
      <c r="E15" s="1">
        <v>1</v>
      </c>
      <c r="F15" s="1">
        <v>7.9</v>
      </c>
      <c r="G15" s="1" t="s">
        <v>4</v>
      </c>
      <c r="H15" s="3"/>
    </row>
    <row r="16" spans="4:8" x14ac:dyDescent="0.3">
      <c r="D16" s="2" t="s">
        <v>17</v>
      </c>
      <c r="E16" s="1">
        <v>1</v>
      </c>
      <c r="F16" s="1">
        <v>7.9</v>
      </c>
      <c r="G16" s="1" t="s">
        <v>4</v>
      </c>
      <c r="H16" s="3"/>
    </row>
    <row r="17" spans="4:8" x14ac:dyDescent="0.3">
      <c r="D17" s="2"/>
      <c r="E17" s="1"/>
      <c r="F17" s="1"/>
      <c r="G17" s="1"/>
      <c r="H17" s="3"/>
    </row>
    <row r="18" spans="4:8" x14ac:dyDescent="0.3">
      <c r="D18" s="2" t="s">
        <v>21</v>
      </c>
      <c r="E18" s="1">
        <v>2</v>
      </c>
      <c r="F18" s="1">
        <v>23.8</v>
      </c>
      <c r="G18" s="1" t="s">
        <v>4</v>
      </c>
      <c r="H18" s="3"/>
    </row>
    <row r="19" spans="4:8" x14ac:dyDescent="0.3">
      <c r="D19" s="2" t="s">
        <v>22</v>
      </c>
      <c r="E19" s="1">
        <v>4</v>
      </c>
      <c r="F19" s="1">
        <v>15.6</v>
      </c>
      <c r="G19" s="1" t="s">
        <v>4</v>
      </c>
      <c r="H19" s="3" t="s">
        <v>23</v>
      </c>
    </row>
    <row r="20" spans="4:8" x14ac:dyDescent="0.3">
      <c r="D20" s="2" t="s">
        <v>24</v>
      </c>
      <c r="E20" s="1">
        <v>2</v>
      </c>
      <c r="F20" s="1">
        <v>135.80000000000001</v>
      </c>
      <c r="G20" s="1" t="s">
        <v>4</v>
      </c>
      <c r="H20" s="3" t="s">
        <v>37</v>
      </c>
    </row>
    <row r="21" spans="4:8" x14ac:dyDescent="0.3">
      <c r="D21" s="2" t="s">
        <v>43</v>
      </c>
      <c r="E21" s="1">
        <v>1</v>
      </c>
      <c r="F21" s="1">
        <v>73.900000000000006</v>
      </c>
      <c r="G21" s="1" t="s">
        <v>4</v>
      </c>
      <c r="H21" s="3"/>
    </row>
    <row r="22" spans="4:8" x14ac:dyDescent="0.3">
      <c r="D22" s="2" t="s">
        <v>42</v>
      </c>
      <c r="E22" s="1">
        <v>1</v>
      </c>
      <c r="F22" s="1">
        <v>75.900000000000006</v>
      </c>
      <c r="G22" s="1" t="s">
        <v>4</v>
      </c>
      <c r="H22" s="3"/>
    </row>
    <row r="23" spans="4:8" x14ac:dyDescent="0.3">
      <c r="D23" s="2" t="s">
        <v>40</v>
      </c>
      <c r="E23" s="1">
        <v>1</v>
      </c>
      <c r="F23" s="1">
        <v>2339.9</v>
      </c>
      <c r="G23" s="1" t="s">
        <v>4</v>
      </c>
      <c r="H23" s="3" t="s">
        <v>41</v>
      </c>
    </row>
    <row r="24" spans="4:8" x14ac:dyDescent="0.3">
      <c r="D24" s="2" t="s">
        <v>25</v>
      </c>
      <c r="E24" s="1">
        <v>1</v>
      </c>
      <c r="F24" s="1">
        <v>12.8</v>
      </c>
      <c r="G24" s="1" t="s">
        <v>4</v>
      </c>
      <c r="H24" s="3"/>
    </row>
    <row r="25" spans="4:8" x14ac:dyDescent="0.3">
      <c r="D25" s="2"/>
      <c r="E25" s="1"/>
      <c r="F25" s="1"/>
      <c r="G25" s="1"/>
      <c r="H25" s="3"/>
    </row>
    <row r="26" spans="4:8" x14ac:dyDescent="0.3">
      <c r="D26" s="2" t="s">
        <v>28</v>
      </c>
      <c r="E26" s="1">
        <v>2</v>
      </c>
      <c r="F26" s="16">
        <v>1414</v>
      </c>
      <c r="G26" s="17" t="s">
        <v>27</v>
      </c>
      <c r="H26" s="3"/>
    </row>
    <row r="27" spans="4:8" x14ac:dyDescent="0.3">
      <c r="D27" s="2" t="s">
        <v>29</v>
      </c>
      <c r="E27" s="1">
        <v>1</v>
      </c>
      <c r="F27" s="16"/>
      <c r="G27" s="17"/>
      <c r="H27" s="3"/>
    </row>
    <row r="28" spans="4:8" x14ac:dyDescent="0.3">
      <c r="D28" s="2" t="s">
        <v>30</v>
      </c>
      <c r="E28" s="1">
        <v>2</v>
      </c>
      <c r="F28" s="1">
        <v>179.8</v>
      </c>
      <c r="G28" s="1" t="s">
        <v>27</v>
      </c>
      <c r="H28" s="3"/>
    </row>
    <row r="29" spans="4:8" x14ac:dyDescent="0.3">
      <c r="D29" s="2" t="s">
        <v>31</v>
      </c>
      <c r="E29" s="1">
        <v>1</v>
      </c>
      <c r="F29" s="16">
        <v>122.7</v>
      </c>
      <c r="G29" s="17" t="s">
        <v>27</v>
      </c>
      <c r="H29" s="3"/>
    </row>
    <row r="30" spans="4:8" x14ac:dyDescent="0.3">
      <c r="D30" s="2" t="s">
        <v>32</v>
      </c>
      <c r="E30" s="1">
        <v>2</v>
      </c>
      <c r="F30" s="16"/>
      <c r="G30" s="17"/>
      <c r="H30" s="3"/>
    </row>
    <row r="31" spans="4:8" x14ac:dyDescent="0.3">
      <c r="D31" s="2" t="s">
        <v>33</v>
      </c>
      <c r="E31" s="1">
        <v>1</v>
      </c>
      <c r="F31" s="1">
        <v>164.19</v>
      </c>
      <c r="G31" s="1" t="s">
        <v>27</v>
      </c>
      <c r="H31" s="3"/>
    </row>
    <row r="32" spans="4:8" x14ac:dyDescent="0.3">
      <c r="D32" s="2" t="s">
        <v>34</v>
      </c>
      <c r="E32" s="1">
        <v>3</v>
      </c>
      <c r="F32" s="1">
        <v>68.900000000000006</v>
      </c>
      <c r="G32" s="1" t="s">
        <v>27</v>
      </c>
      <c r="H32" s="3"/>
    </row>
    <row r="33" spans="4:8" x14ac:dyDescent="0.3">
      <c r="D33" s="2" t="s">
        <v>35</v>
      </c>
      <c r="E33" s="1">
        <v>3</v>
      </c>
      <c r="F33" s="1">
        <v>719.7</v>
      </c>
      <c r="G33" s="1" t="s">
        <v>27</v>
      </c>
      <c r="H33" s="3"/>
    </row>
    <row r="34" spans="4:8" x14ac:dyDescent="0.3">
      <c r="D34" s="2" t="s">
        <v>44</v>
      </c>
      <c r="E34" s="1">
        <v>1</v>
      </c>
      <c r="F34" s="1"/>
      <c r="G34" s="1"/>
      <c r="H34" s="3"/>
    </row>
    <row r="35" spans="4:8" x14ac:dyDescent="0.3">
      <c r="D35" s="2" t="s">
        <v>45</v>
      </c>
      <c r="E35" s="1">
        <v>1</v>
      </c>
      <c r="F35" s="1"/>
      <c r="G35" s="1"/>
      <c r="H35" s="3"/>
    </row>
    <row r="36" spans="4:8" x14ac:dyDescent="0.3">
      <c r="D36" s="2"/>
      <c r="E36" s="1"/>
      <c r="F36" s="1"/>
      <c r="G36" s="1"/>
      <c r="H36" s="3"/>
    </row>
    <row r="37" spans="4:8" x14ac:dyDescent="0.3">
      <c r="D37" s="2"/>
      <c r="E37" s="1"/>
      <c r="F37" s="1"/>
      <c r="G37" s="1"/>
      <c r="H37" s="3"/>
    </row>
    <row r="38" spans="4:8" ht="15" thickBot="1" x14ac:dyDescent="0.35">
      <c r="D38" s="4"/>
      <c r="E38" s="5"/>
      <c r="F38" s="5"/>
      <c r="G38" s="5"/>
      <c r="H38" s="6"/>
    </row>
    <row r="39" spans="4:8" ht="16.2" thickBot="1" x14ac:dyDescent="0.35">
      <c r="D39" s="7" t="s">
        <v>38</v>
      </c>
      <c r="E39" s="8">
        <f>SUM(E4:E38)</f>
        <v>52</v>
      </c>
      <c r="F39" s="9">
        <f>SUM(F4:F38)</f>
        <v>5621.8099999999995</v>
      </c>
      <c r="G39" s="18" t="s">
        <v>39</v>
      </c>
      <c r="H39" s="19"/>
    </row>
  </sheetData>
  <mergeCells count="5">
    <mergeCell ref="F26:F27"/>
    <mergeCell ref="G26:G27"/>
    <mergeCell ref="F29:F30"/>
    <mergeCell ref="G29:G30"/>
    <mergeCell ref="G39:H3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B1A9-14FE-4509-A59E-6B7C71F9D66A}">
  <sheetPr>
    <tabColor rgb="FFFF0000"/>
  </sheetPr>
  <dimension ref="D2:H39"/>
  <sheetViews>
    <sheetView zoomScale="70" zoomScaleNormal="70" workbookViewId="0">
      <selection activeCell="L30" sqref="L30"/>
    </sheetView>
  </sheetViews>
  <sheetFormatPr defaultRowHeight="14.4" x14ac:dyDescent="0.3"/>
  <cols>
    <col min="4" max="4" width="57.6640625" bestFit="1" customWidth="1"/>
    <col min="5" max="5" width="7.44140625" customWidth="1"/>
    <col min="6" max="6" width="10.6640625" bestFit="1" customWidth="1"/>
    <col min="7" max="7" width="25.109375" customWidth="1"/>
    <col min="8" max="8" width="49.6640625" bestFit="1" customWidth="1"/>
  </cols>
  <sheetData>
    <row r="2" spans="4:8" ht="15" thickBot="1" x14ac:dyDescent="0.35"/>
    <row r="3" spans="4:8" ht="16.2" thickBot="1" x14ac:dyDescent="0.35">
      <c r="D3" s="13" t="s">
        <v>0</v>
      </c>
      <c r="E3" s="14" t="s">
        <v>5</v>
      </c>
      <c r="F3" s="14" t="s">
        <v>2</v>
      </c>
      <c r="G3" s="14" t="s">
        <v>1</v>
      </c>
      <c r="H3" s="15" t="s">
        <v>19</v>
      </c>
    </row>
    <row r="4" spans="4:8" x14ac:dyDescent="0.3">
      <c r="D4" s="10"/>
      <c r="E4" s="11"/>
      <c r="F4" s="11"/>
      <c r="G4" s="11"/>
      <c r="H4" s="12"/>
    </row>
    <row r="5" spans="4:8" x14ac:dyDescent="0.3">
      <c r="D5" s="2" t="s">
        <v>6</v>
      </c>
      <c r="E5" s="1">
        <v>1</v>
      </c>
      <c r="F5" s="1">
        <v>20</v>
      </c>
      <c r="G5" s="1"/>
      <c r="H5" s="3"/>
    </row>
    <row r="6" spans="4:8" x14ac:dyDescent="0.3">
      <c r="D6" s="2"/>
      <c r="E6" s="1"/>
      <c r="F6" s="1"/>
      <c r="G6" s="1"/>
      <c r="H6" s="3"/>
    </row>
    <row r="7" spans="4:8" x14ac:dyDescent="0.3">
      <c r="D7" s="2" t="s">
        <v>8</v>
      </c>
      <c r="E7" s="1">
        <v>1</v>
      </c>
      <c r="F7" s="1">
        <v>9</v>
      </c>
      <c r="G7" s="1"/>
      <c r="H7" s="3"/>
    </row>
    <row r="8" spans="4:8" x14ac:dyDescent="0.3">
      <c r="D8" s="2" t="s">
        <v>9</v>
      </c>
      <c r="E8" s="1">
        <v>1</v>
      </c>
      <c r="F8" s="1">
        <v>60</v>
      </c>
      <c r="G8" s="1"/>
      <c r="H8" s="3"/>
    </row>
    <row r="9" spans="4:8" x14ac:dyDescent="0.3">
      <c r="D9" s="2" t="s">
        <v>10</v>
      </c>
      <c r="E9" s="1">
        <v>1</v>
      </c>
      <c r="F9" s="1">
        <v>21.9</v>
      </c>
      <c r="G9" s="1"/>
      <c r="H9" s="3"/>
    </row>
    <row r="10" spans="4:8" x14ac:dyDescent="0.3">
      <c r="D10" s="2" t="s">
        <v>11</v>
      </c>
      <c r="E10" s="1">
        <v>1</v>
      </c>
      <c r="F10" s="1">
        <v>49.9</v>
      </c>
      <c r="G10" s="1"/>
      <c r="H10" s="3"/>
    </row>
    <row r="11" spans="4:8" x14ac:dyDescent="0.3">
      <c r="D11" s="2"/>
      <c r="E11" s="1"/>
      <c r="F11" s="1"/>
      <c r="G11" s="1"/>
      <c r="H11" s="3"/>
    </row>
    <row r="12" spans="4:8" x14ac:dyDescent="0.3">
      <c r="D12" s="2"/>
      <c r="E12" s="1"/>
      <c r="F12" s="1"/>
      <c r="G12" s="1"/>
      <c r="H12" s="3"/>
    </row>
    <row r="13" spans="4:8" x14ac:dyDescent="0.3">
      <c r="D13" s="2"/>
      <c r="E13" s="1"/>
      <c r="F13" s="1"/>
      <c r="G13" s="1"/>
      <c r="H13" s="3"/>
    </row>
    <row r="14" spans="4:8" x14ac:dyDescent="0.3">
      <c r="D14" s="2" t="s">
        <v>15</v>
      </c>
      <c r="E14" s="1">
        <v>2</v>
      </c>
      <c r="F14" s="1">
        <v>12.4</v>
      </c>
      <c r="G14" s="1"/>
      <c r="H14" s="3"/>
    </row>
    <row r="15" spans="4:8" x14ac:dyDescent="0.3">
      <c r="D15" s="2" t="s">
        <v>16</v>
      </c>
      <c r="E15" s="1">
        <v>1</v>
      </c>
      <c r="F15" s="1">
        <v>7.9</v>
      </c>
      <c r="G15" s="1"/>
      <c r="H15" s="3"/>
    </row>
    <row r="16" spans="4:8" x14ac:dyDescent="0.3">
      <c r="D16" s="2" t="s">
        <v>17</v>
      </c>
      <c r="E16" s="1">
        <v>1</v>
      </c>
      <c r="F16" s="1">
        <v>7.9</v>
      </c>
      <c r="G16" s="1"/>
      <c r="H16" s="3"/>
    </row>
    <row r="17" spans="4:8" x14ac:dyDescent="0.3">
      <c r="D17" s="2"/>
      <c r="E17" s="1"/>
      <c r="F17" s="1"/>
      <c r="G17" s="1"/>
      <c r="H17" s="3"/>
    </row>
    <row r="18" spans="4:8" x14ac:dyDescent="0.3">
      <c r="D18" s="2"/>
      <c r="E18" s="1"/>
      <c r="F18" s="1"/>
      <c r="G18" s="1"/>
      <c r="H18" s="3"/>
    </row>
    <row r="19" spans="4:8" x14ac:dyDescent="0.3">
      <c r="D19" s="2"/>
      <c r="E19" s="1"/>
      <c r="F19" s="1"/>
      <c r="G19" s="1"/>
      <c r="H19" s="3"/>
    </row>
    <row r="20" spans="4:8" x14ac:dyDescent="0.3">
      <c r="D20" s="2"/>
      <c r="E20" s="1"/>
      <c r="F20" s="1"/>
      <c r="G20" s="1"/>
      <c r="H20" s="3"/>
    </row>
    <row r="21" spans="4:8" x14ac:dyDescent="0.3">
      <c r="D21" s="2"/>
      <c r="E21" s="1"/>
      <c r="F21" s="1"/>
      <c r="G21" s="1"/>
      <c r="H21" s="3"/>
    </row>
    <row r="22" spans="4:8" x14ac:dyDescent="0.3">
      <c r="D22" s="2"/>
      <c r="E22" s="1"/>
      <c r="F22" s="1"/>
      <c r="G22" s="1"/>
      <c r="H22" s="3"/>
    </row>
    <row r="23" spans="4:8" x14ac:dyDescent="0.3">
      <c r="D23" s="2"/>
      <c r="E23" s="1"/>
      <c r="F23" s="1"/>
      <c r="G23" s="1"/>
      <c r="H23" s="3"/>
    </row>
    <row r="24" spans="4:8" x14ac:dyDescent="0.3">
      <c r="D24" s="2"/>
      <c r="E24" s="1"/>
      <c r="F24" s="1"/>
      <c r="G24" s="1"/>
      <c r="H24" s="3"/>
    </row>
    <row r="25" spans="4:8" x14ac:dyDescent="0.3">
      <c r="D25" s="2" t="s">
        <v>26</v>
      </c>
      <c r="E25" s="1">
        <v>1</v>
      </c>
      <c r="F25" s="1">
        <v>360</v>
      </c>
      <c r="G25" s="1"/>
      <c r="H25" s="3"/>
    </row>
    <row r="26" spans="4:8" x14ac:dyDescent="0.3">
      <c r="D26" s="2"/>
      <c r="E26" s="1"/>
      <c r="F26" s="16"/>
      <c r="G26" s="17"/>
      <c r="H26" s="3"/>
    </row>
    <row r="27" spans="4:8" x14ac:dyDescent="0.3">
      <c r="D27" s="2"/>
      <c r="E27" s="1"/>
      <c r="F27" s="16"/>
      <c r="G27" s="17"/>
      <c r="H27" s="3"/>
    </row>
    <row r="28" spans="4:8" x14ac:dyDescent="0.3">
      <c r="D28" s="2"/>
      <c r="E28" s="1"/>
      <c r="F28" s="1"/>
      <c r="G28" s="1"/>
      <c r="H28" s="3"/>
    </row>
    <row r="29" spans="4:8" x14ac:dyDescent="0.3">
      <c r="D29" s="2"/>
      <c r="E29" s="1"/>
      <c r="F29" s="16"/>
      <c r="G29" s="17"/>
      <c r="H29" s="3"/>
    </row>
    <row r="30" spans="4:8" x14ac:dyDescent="0.3">
      <c r="D30" s="2"/>
      <c r="E30" s="1"/>
      <c r="F30" s="16"/>
      <c r="G30" s="17"/>
      <c r="H30" s="3"/>
    </row>
    <row r="31" spans="4:8" x14ac:dyDescent="0.3">
      <c r="D31" s="2" t="s">
        <v>33</v>
      </c>
      <c r="E31" s="1">
        <v>1</v>
      </c>
      <c r="F31" s="1">
        <v>164.19</v>
      </c>
      <c r="G31" s="1"/>
      <c r="H31" s="3"/>
    </row>
    <row r="32" spans="4:8" x14ac:dyDescent="0.3">
      <c r="D32" s="2" t="s">
        <v>34</v>
      </c>
      <c r="E32" s="1">
        <v>1</v>
      </c>
      <c r="F32" s="1">
        <v>23</v>
      </c>
      <c r="G32" s="1"/>
      <c r="H32" s="3"/>
    </row>
    <row r="33" spans="4:8" x14ac:dyDescent="0.3">
      <c r="D33" s="2"/>
      <c r="E33" s="1"/>
      <c r="F33" s="1"/>
      <c r="G33" s="1"/>
      <c r="H33" s="3"/>
    </row>
    <row r="34" spans="4:8" x14ac:dyDescent="0.3">
      <c r="D34" s="2"/>
      <c r="E34" s="1"/>
      <c r="F34" s="1"/>
      <c r="G34" s="1"/>
      <c r="H34" s="3"/>
    </row>
    <row r="35" spans="4:8" x14ac:dyDescent="0.3">
      <c r="D35" s="2"/>
      <c r="E35" s="1"/>
      <c r="F35" s="1"/>
      <c r="G35" s="1"/>
      <c r="H35" s="3"/>
    </row>
    <row r="36" spans="4:8" x14ac:dyDescent="0.3">
      <c r="D36" s="2"/>
      <c r="E36" s="1"/>
      <c r="F36" s="1"/>
      <c r="G36" s="1"/>
      <c r="H36" s="3"/>
    </row>
    <row r="37" spans="4:8" x14ac:dyDescent="0.3">
      <c r="D37" s="2"/>
      <c r="E37" s="1"/>
      <c r="F37" s="1"/>
      <c r="G37" s="1"/>
      <c r="H37" s="3"/>
    </row>
    <row r="38" spans="4:8" ht="15" thickBot="1" x14ac:dyDescent="0.35">
      <c r="D38" s="4"/>
      <c r="E38" s="5"/>
      <c r="F38" s="5"/>
      <c r="G38" s="5"/>
      <c r="H38" s="6"/>
    </row>
    <row r="39" spans="4:8" ht="16.2" thickBot="1" x14ac:dyDescent="0.35">
      <c r="D39" s="7" t="s">
        <v>38</v>
      </c>
      <c r="E39" s="8">
        <f>SUM(E4:E38)</f>
        <v>12</v>
      </c>
      <c r="F39" s="9">
        <f>SUM(F4:F38)</f>
        <v>736.19</v>
      </c>
      <c r="G39" s="18" t="s">
        <v>39</v>
      </c>
      <c r="H39" s="19"/>
    </row>
  </sheetData>
  <mergeCells count="5">
    <mergeCell ref="F26:F27"/>
    <mergeCell ref="G26:G27"/>
    <mergeCell ref="F29:F30"/>
    <mergeCell ref="G29:G30"/>
    <mergeCell ref="G39:H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2D4C-B55A-4E21-9F7D-A1BADBD61E61}">
  <sheetPr>
    <tabColor rgb="FFFF0000"/>
  </sheetPr>
  <dimension ref="D2:J39"/>
  <sheetViews>
    <sheetView tabSelected="1" workbookViewId="0">
      <selection activeCell="D8" sqref="D8:F8"/>
    </sheetView>
  </sheetViews>
  <sheetFormatPr defaultRowHeight="14.4" x14ac:dyDescent="0.3"/>
  <cols>
    <col min="4" max="4" width="57.6640625" bestFit="1" customWidth="1"/>
    <col min="5" max="5" width="7.44140625" customWidth="1"/>
    <col min="6" max="6" width="10.6640625" bestFit="1" customWidth="1"/>
    <col min="7" max="7" width="25.109375" customWidth="1"/>
    <col min="8" max="8" width="48.21875" bestFit="1" customWidth="1"/>
  </cols>
  <sheetData>
    <row r="2" spans="4:10" ht="15" thickBot="1" x14ac:dyDescent="0.35"/>
    <row r="3" spans="4:10" ht="16.2" thickBot="1" x14ac:dyDescent="0.35">
      <c r="D3" s="13" t="s">
        <v>0</v>
      </c>
      <c r="E3" s="14" t="s">
        <v>5</v>
      </c>
      <c r="F3" s="14" t="s">
        <v>2</v>
      </c>
      <c r="G3" s="14" t="s">
        <v>1</v>
      </c>
      <c r="H3" s="15" t="s">
        <v>19</v>
      </c>
    </row>
    <row r="4" spans="4:10" x14ac:dyDescent="0.3">
      <c r="D4" s="10" t="s">
        <v>3</v>
      </c>
      <c r="E4" s="11">
        <v>2</v>
      </c>
      <c r="F4" s="11">
        <v>100</v>
      </c>
      <c r="G4" s="11"/>
      <c r="H4" s="12"/>
    </row>
    <row r="5" spans="4:10" x14ac:dyDescent="0.3">
      <c r="D5" s="2" t="s">
        <v>6</v>
      </c>
      <c r="E5" s="1">
        <v>2</v>
      </c>
      <c r="F5" s="1">
        <v>40</v>
      </c>
      <c r="G5" s="1"/>
      <c r="H5" s="3"/>
    </row>
    <row r="6" spans="4:10" x14ac:dyDescent="0.3">
      <c r="D6" s="2" t="s">
        <v>7</v>
      </c>
      <c r="E6" s="1">
        <v>2</v>
      </c>
      <c r="F6" s="1">
        <v>20</v>
      </c>
      <c r="G6" s="1"/>
      <c r="H6" s="3"/>
    </row>
    <row r="7" spans="4:10" x14ac:dyDescent="0.3">
      <c r="D7" s="2" t="s">
        <v>8</v>
      </c>
      <c r="E7" s="1">
        <v>1</v>
      </c>
      <c r="F7" s="1">
        <v>8.9</v>
      </c>
      <c r="G7" s="1" t="s">
        <v>4</v>
      </c>
      <c r="H7" s="3"/>
      <c r="J7">
        <f>F4/2</f>
        <v>50</v>
      </c>
    </row>
    <row r="8" spans="4:10" x14ac:dyDescent="0.3">
      <c r="D8" s="2" t="s">
        <v>26</v>
      </c>
      <c r="E8" s="1">
        <v>1</v>
      </c>
      <c r="F8" s="1">
        <v>90</v>
      </c>
      <c r="G8" s="1"/>
      <c r="H8" s="3"/>
    </row>
    <row r="9" spans="4:10" x14ac:dyDescent="0.3">
      <c r="D9" s="2"/>
      <c r="E9" s="1"/>
      <c r="F9" s="1"/>
      <c r="G9" s="1"/>
      <c r="H9" s="3"/>
    </row>
    <row r="10" spans="4:10" x14ac:dyDescent="0.3">
      <c r="D10" s="2"/>
      <c r="E10" s="1"/>
      <c r="F10" s="1"/>
      <c r="G10" s="1"/>
      <c r="H10" s="3"/>
    </row>
    <row r="11" spans="4:10" x14ac:dyDescent="0.3">
      <c r="D11" s="2"/>
      <c r="E11" s="1"/>
      <c r="F11" s="1"/>
      <c r="G11" s="1"/>
      <c r="H11" s="3"/>
    </row>
    <row r="12" spans="4:10" x14ac:dyDescent="0.3">
      <c r="D12" s="2"/>
      <c r="E12" s="1"/>
      <c r="F12" s="1"/>
      <c r="G12" s="1"/>
      <c r="H12" s="3"/>
    </row>
    <row r="13" spans="4:10" x14ac:dyDescent="0.3">
      <c r="D13" s="2"/>
      <c r="E13" s="1"/>
      <c r="F13" s="1"/>
      <c r="G13" s="1"/>
      <c r="H13" s="3"/>
    </row>
    <row r="14" spans="4:10" x14ac:dyDescent="0.3">
      <c r="D14" s="2" t="s">
        <v>15</v>
      </c>
      <c r="E14" s="1">
        <v>2</v>
      </c>
      <c r="F14" s="1">
        <v>12.4</v>
      </c>
      <c r="G14" s="1"/>
      <c r="H14" s="3"/>
    </row>
    <row r="15" spans="4:10" x14ac:dyDescent="0.3">
      <c r="D15" s="2" t="s">
        <v>16</v>
      </c>
      <c r="E15" s="1">
        <v>1</v>
      </c>
      <c r="F15" s="1">
        <v>7.9</v>
      </c>
      <c r="G15" s="1"/>
      <c r="H15" s="3"/>
    </row>
    <row r="16" spans="4:10" x14ac:dyDescent="0.3">
      <c r="D16" s="2" t="s">
        <v>17</v>
      </c>
      <c r="E16" s="1">
        <v>1</v>
      </c>
      <c r="F16" s="1">
        <v>7.9</v>
      </c>
      <c r="G16" s="1"/>
      <c r="H16" s="3"/>
    </row>
    <row r="17" spans="4:8" x14ac:dyDescent="0.3">
      <c r="D17" s="2"/>
      <c r="E17" s="1"/>
      <c r="F17" s="1"/>
      <c r="G17" s="1"/>
      <c r="H17" s="3"/>
    </row>
    <row r="18" spans="4:8" x14ac:dyDescent="0.3">
      <c r="D18" s="2" t="s">
        <v>21</v>
      </c>
      <c r="E18" s="1">
        <v>2</v>
      </c>
      <c r="F18" s="1">
        <v>48</v>
      </c>
      <c r="G18" s="1"/>
      <c r="H18" s="3"/>
    </row>
    <row r="19" spans="4:8" x14ac:dyDescent="0.3">
      <c r="D19" s="2"/>
      <c r="E19" s="1"/>
      <c r="F19" s="1"/>
      <c r="G19" s="1"/>
      <c r="H19" s="3"/>
    </row>
    <row r="20" spans="4:8" x14ac:dyDescent="0.3">
      <c r="D20" s="2"/>
      <c r="E20" s="1"/>
      <c r="F20" s="1"/>
      <c r="G20" s="1"/>
      <c r="H20" s="3"/>
    </row>
    <row r="21" spans="4:8" x14ac:dyDescent="0.3">
      <c r="D21" s="2"/>
      <c r="E21" s="1"/>
      <c r="F21" s="1"/>
      <c r="G21" s="1"/>
      <c r="H21" s="3"/>
    </row>
    <row r="22" spans="4:8" x14ac:dyDescent="0.3">
      <c r="D22" s="2"/>
      <c r="E22" s="1"/>
      <c r="F22" s="1"/>
      <c r="G22" s="1"/>
      <c r="H22" s="3"/>
    </row>
    <row r="23" spans="4:8" x14ac:dyDescent="0.3">
      <c r="D23" s="2" t="s">
        <v>40</v>
      </c>
      <c r="E23" s="1">
        <v>1</v>
      </c>
      <c r="F23" s="1">
        <v>2339.9</v>
      </c>
      <c r="G23" s="1"/>
      <c r="H23" s="3"/>
    </row>
    <row r="24" spans="4:8" x14ac:dyDescent="0.3">
      <c r="D24" s="2"/>
      <c r="E24" s="1"/>
      <c r="F24" s="1"/>
      <c r="G24" s="1"/>
      <c r="H24" s="3"/>
    </row>
    <row r="25" spans="4:8" x14ac:dyDescent="0.3">
      <c r="D25" s="2"/>
      <c r="E25" s="1"/>
      <c r="F25" s="1"/>
      <c r="G25" s="1"/>
      <c r="H25" s="3"/>
    </row>
    <row r="26" spans="4:8" x14ac:dyDescent="0.3">
      <c r="D26" s="2"/>
      <c r="E26" s="1"/>
      <c r="G26" s="16"/>
      <c r="H26" s="3"/>
    </row>
    <row r="27" spans="4:8" x14ac:dyDescent="0.3">
      <c r="D27" s="2"/>
      <c r="E27" s="1"/>
      <c r="G27" s="16"/>
      <c r="H27" s="3"/>
    </row>
    <row r="28" spans="4:8" x14ac:dyDescent="0.3">
      <c r="D28" s="2"/>
      <c r="E28" s="1"/>
      <c r="G28" s="1"/>
      <c r="H28" s="3"/>
    </row>
    <row r="29" spans="4:8" x14ac:dyDescent="0.3">
      <c r="D29" s="2"/>
      <c r="E29" s="1"/>
      <c r="G29" s="16"/>
      <c r="H29" s="3"/>
    </row>
    <row r="30" spans="4:8" x14ac:dyDescent="0.3">
      <c r="D30" s="2"/>
      <c r="E30" s="1"/>
      <c r="G30" s="16"/>
      <c r="H30" s="3"/>
    </row>
    <row r="31" spans="4:8" x14ac:dyDescent="0.3">
      <c r="D31" s="2"/>
      <c r="E31" s="1"/>
      <c r="G31" s="1"/>
      <c r="H31" s="3"/>
    </row>
    <row r="32" spans="4:8" x14ac:dyDescent="0.3">
      <c r="D32" s="2"/>
      <c r="E32" s="1"/>
      <c r="G32" s="1"/>
      <c r="H32" s="3"/>
    </row>
    <row r="33" spans="4:8" x14ac:dyDescent="0.3">
      <c r="D33" s="2"/>
      <c r="E33" s="1"/>
      <c r="G33" s="1"/>
      <c r="H33" s="3"/>
    </row>
    <row r="34" spans="4:8" x14ac:dyDescent="0.3">
      <c r="D34" s="2"/>
      <c r="E34" s="1"/>
      <c r="F34" s="1"/>
      <c r="G34" s="1"/>
      <c r="H34" s="3"/>
    </row>
    <row r="35" spans="4:8" x14ac:dyDescent="0.3">
      <c r="D35" s="2"/>
      <c r="E35" s="1"/>
      <c r="F35" s="1"/>
      <c r="G35" s="1"/>
      <c r="H35" s="3"/>
    </row>
    <row r="36" spans="4:8" x14ac:dyDescent="0.3">
      <c r="D36" s="2"/>
      <c r="E36" s="1"/>
      <c r="F36" s="1"/>
      <c r="G36" s="1"/>
      <c r="H36" s="3"/>
    </row>
    <row r="37" spans="4:8" x14ac:dyDescent="0.3">
      <c r="D37" s="2"/>
      <c r="E37" s="1"/>
      <c r="F37" s="1"/>
      <c r="G37" s="1"/>
      <c r="H37" s="3"/>
    </row>
    <row r="38" spans="4:8" ht="15" thickBot="1" x14ac:dyDescent="0.35">
      <c r="D38" s="4"/>
      <c r="E38" s="5"/>
      <c r="F38" s="5"/>
      <c r="G38" s="5"/>
      <c r="H38" s="6"/>
    </row>
    <row r="39" spans="4:8" ht="16.2" thickBot="1" x14ac:dyDescent="0.35">
      <c r="D39" s="7" t="s">
        <v>38</v>
      </c>
      <c r="E39" s="8">
        <f>SUM(E4:E38)</f>
        <v>15</v>
      </c>
      <c r="F39" s="9">
        <f>SUM(F4:F38)</f>
        <v>2675</v>
      </c>
      <c r="G39" s="18" t="s">
        <v>39</v>
      </c>
      <c r="H39" s="19"/>
    </row>
  </sheetData>
  <mergeCells count="3">
    <mergeCell ref="G26:G27"/>
    <mergeCell ref="G29:G30"/>
    <mergeCell ref="G39:H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Custos</vt:lpstr>
      <vt:lpstr>Arduino</vt:lpstr>
      <vt:lpstr>Raspberry</vt:lpstr>
      <vt:lpstr>Arduino_customizado</vt:lpstr>
      <vt:lpstr>Raspberry_Customizado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Rodrigues da Silva</dc:creator>
  <cp:lastModifiedBy>Levi Rodrigues da Silva</cp:lastModifiedBy>
  <dcterms:created xsi:type="dcterms:W3CDTF">2025-09-24T14:09:20Z</dcterms:created>
  <dcterms:modified xsi:type="dcterms:W3CDTF">2025-12-11T16:21:58Z</dcterms:modified>
</cp:coreProperties>
</file>